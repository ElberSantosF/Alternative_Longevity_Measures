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#\ ###\ ###\ ##0;\-#\ ###\ ###\ ##0;0"/>
    <numFmt numFmtId="165" formatCode="0.00000_ ;\-0.00000\ "/>
    <numFmt numFmtId="166" formatCode="0.00000;\-0.00000;0"/>
    <numFmt numFmtId="167" formatCode="##0.00;\-##0.00;0"/>
    <numFmt numFmtId="168" formatCode="##0.0;\-##0.0;0"/>
  </numFmts>
  <fonts count="5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sz val="10"/>
      <scheme val="minor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indexed="8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pivotButton="0" quotePrefix="0" xfId="0"/>
    <xf numFmtId="164" fontId="2" fillId="0" borderId="1" pivotButton="0" quotePrefix="0" xfId="0"/>
    <xf numFmtId="165" fontId="2" fillId="0" borderId="1" pivotButton="0" quotePrefix="0" xfId="0"/>
    <xf numFmtId="1" fontId="3" fillId="2" borderId="1" applyAlignment="1" pivotButton="0" quotePrefix="0" xfId="1">
      <alignment horizontal="center" vertical="center" wrapText="1"/>
    </xf>
    <xf numFmtId="0" fontId="4" fillId="3" borderId="1" applyAlignment="1" pivotButton="0" quotePrefix="0" xfId="1">
      <alignment horizontal="center" vertical="center"/>
    </xf>
    <xf numFmtId="0" fontId="3" fillId="2" borderId="1" applyAlignment="1" pivotButton="0" quotePrefix="0" xfId="0">
      <alignment horizontal="center" vertical="center"/>
    </xf>
    <xf numFmtId="166" fontId="2" fillId="0" borderId="1" applyAlignment="1" pivotButton="0" quotePrefix="0" xfId="0">
      <alignment horizontal="right"/>
    </xf>
    <xf numFmtId="167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168" fontId="2" fillId="0" borderId="1" applyAlignment="1" pivotButton="0" quotePrefix="0" xfId="0">
      <alignment horizontal="right"/>
    </xf>
    <xf numFmtId="166" fontId="2" fillId="0" borderId="1" applyAlignment="1" pivotButton="0" quotePrefix="0" xfId="0">
      <alignment horizontal="right"/>
    </xf>
    <xf numFmtId="167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164" fontId="2" fillId="0" borderId="1" pivotButton="0" quotePrefix="0" xfId="0"/>
    <xf numFmtId="168" fontId="2" fillId="0" borderId="1" applyAlignment="1" pivotButton="0" quotePrefix="0" xfId="0">
      <alignment horizontal="right"/>
    </xf>
  </cellXfs>
  <cellStyles count="2">
    <cellStyle name="Normal" xfId="0" builtinId="0"/>
    <cellStyle name="Normal 16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tabSelected="1" workbookViewId="0">
      <selection activeCell="I12" sqref="I12"/>
    </sheetView>
  </sheetViews>
  <sheetFormatPr baseColWidth="8" defaultRowHeight="14.4"/>
  <cols>
    <col width="9" bestFit="1" customWidth="1" min="1" max="8"/>
    <col width="9.6640625" bestFit="1" customWidth="1" min="9" max="9"/>
    <col width="9" bestFit="1" customWidth="1" min="10" max="10"/>
  </cols>
  <sheetData>
    <row r="1">
      <c r="A1" s="3" t="inlineStr">
        <is>
          <t>age</t>
        </is>
      </c>
      <c r="B1" s="5" t="inlineStr">
        <is>
          <t>nMx</t>
        </is>
      </c>
      <c r="C1" s="5" t="inlineStr">
        <is>
          <t>nAx</t>
        </is>
      </c>
      <c r="D1" s="5" t="inlineStr">
        <is>
          <t>nqx</t>
        </is>
      </c>
      <c r="E1" s="5" t="inlineStr">
        <is>
          <t>lx</t>
        </is>
      </c>
      <c r="F1" s="5" t="inlineStr">
        <is>
          <t>ndx</t>
        </is>
      </c>
      <c r="G1" s="5" t="inlineStr">
        <is>
          <t>nLx</t>
        </is>
      </c>
      <c r="H1" s="5" t="inlineStr">
        <is>
          <t>nPx</t>
        </is>
      </c>
      <c r="I1" s="5" t="inlineStr">
        <is>
          <t>Tx</t>
        </is>
      </c>
      <c r="J1" s="5" t="inlineStr">
        <is>
          <t>ex</t>
        </is>
      </c>
    </row>
    <row r="2">
      <c r="A2" s="4" t="n">
        <v>0</v>
      </c>
      <c r="B2" s="10" t="n">
        <v>0.00373188</v>
      </c>
      <c r="C2" s="11" t="n">
        <v>0.14136</v>
      </c>
      <c r="D2" s="10" t="n">
        <v>0.00371996</v>
      </c>
      <c r="E2" s="12" t="n">
        <v>100000</v>
      </c>
      <c r="F2" s="13">
        <f> E2-E3</f>
        <v/>
      </c>
      <c r="G2" s="14" t="n">
        <v>99680.58900000001</v>
      </c>
      <c r="H2" s="2">
        <f> 1 - D2</f>
        <v/>
      </c>
      <c r="I2" s="12" t="n">
        <v>8308359.437</v>
      </c>
      <c r="J2" s="11" t="n">
        <v>83.0836</v>
      </c>
    </row>
    <row r="3">
      <c r="A3" s="4" t="n">
        <v>1</v>
      </c>
      <c r="B3" s="10" t="n">
        <v>0.00018581</v>
      </c>
      <c r="C3" s="11" t="n">
        <v>1.944598</v>
      </c>
      <c r="D3" s="10" t="n">
        <v>0.00074297</v>
      </c>
      <c r="E3" s="12" t="n">
        <v>99628.004</v>
      </c>
      <c r="F3" s="13">
        <f> E3-E4</f>
        <v/>
      </c>
      <c r="G3" s="14" t="n">
        <v>398359.874</v>
      </c>
      <c r="H3" s="2">
        <f> 1 - D3</f>
        <v/>
      </c>
      <c r="I3" s="12" t="n">
        <v>8208678.848</v>
      </c>
      <c r="J3" s="11" t="n">
        <v>82.3933</v>
      </c>
    </row>
    <row r="4">
      <c r="A4" s="4" t="n">
        <v>5</v>
      </c>
      <c r="B4" s="10" t="n">
        <v>0.00014851</v>
      </c>
      <c r="C4" s="11" t="n">
        <v>2.395081</v>
      </c>
      <c r="D4" s="10" t="n">
        <v>0.00074228</v>
      </c>
      <c r="E4" s="12" t="n">
        <v>99553.98299999999</v>
      </c>
      <c r="F4" s="13">
        <f> E4-E5</f>
        <v/>
      </c>
      <c r="G4" s="14" t="n">
        <v>497577.422</v>
      </c>
      <c r="H4" s="2">
        <f> 1 - D4</f>
        <v/>
      </c>
      <c r="I4" s="12" t="n">
        <v>7810318.974</v>
      </c>
      <c r="J4" s="11" t="n">
        <v>78.45310000000001</v>
      </c>
    </row>
    <row r="5">
      <c r="A5" s="4" t="n">
        <v>10</v>
      </c>
      <c r="B5" s="10" t="n">
        <v>0.00015188</v>
      </c>
      <c r="C5" s="11" t="n">
        <v>2.676297</v>
      </c>
      <c r="D5" s="10" t="n">
        <v>0.0007591400000000001</v>
      </c>
      <c r="E5" s="12" t="n">
        <v>99480.086</v>
      </c>
      <c r="F5" s="13">
        <f> E5-E6</f>
        <v/>
      </c>
      <c r="G5" s="14" t="n">
        <v>497224.949</v>
      </c>
      <c r="H5" s="2">
        <f> 1 - D5</f>
        <v/>
      </c>
      <c r="I5" s="12" t="n">
        <v>7312741.552</v>
      </c>
      <c r="J5" s="11" t="n">
        <v>73.50960000000001</v>
      </c>
    </row>
    <row r="6">
      <c r="A6" s="4" t="n">
        <v>15</v>
      </c>
      <c r="B6" s="10" t="n">
        <v>0.00029385</v>
      </c>
      <c r="C6" s="11" t="n">
        <v>2.738109</v>
      </c>
      <c r="D6" s="10" t="n">
        <v>0.00146826</v>
      </c>
      <c r="E6" s="12" t="n">
        <v>99404.568</v>
      </c>
      <c r="F6" s="13">
        <f> E6-E7</f>
        <v/>
      </c>
      <c r="G6" s="14" t="n">
        <v>496692.711</v>
      </c>
      <c r="H6" s="2">
        <f> 1 - D6</f>
        <v/>
      </c>
      <c r="I6" s="12" t="n">
        <v>6815516.603</v>
      </c>
      <c r="J6" s="11" t="n">
        <v>68.5634</v>
      </c>
    </row>
    <row r="7">
      <c r="A7" s="4" t="n">
        <v>20</v>
      </c>
      <c r="B7" s="10" t="n">
        <v>0.00037053</v>
      </c>
      <c r="C7" s="11" t="n">
        <v>2.492421</v>
      </c>
      <c r="D7" s="10" t="n">
        <v>0.00185094</v>
      </c>
      <c r="E7" s="12" t="n">
        <v>99258.61599999999</v>
      </c>
      <c r="F7" s="13">
        <f> E7-E8</f>
        <v/>
      </c>
      <c r="G7" s="14" t="n">
        <v>495832.383</v>
      </c>
      <c r="H7" s="2">
        <f> 1 - D7</f>
        <v/>
      </c>
      <c r="I7" s="12" t="n">
        <v>6318823.892</v>
      </c>
      <c r="J7" s="11" t="n">
        <v>63.6602</v>
      </c>
    </row>
    <row r="8">
      <c r="A8" s="4" t="n">
        <v>25</v>
      </c>
      <c r="B8" s="10" t="n">
        <v>0.00040536</v>
      </c>
      <c r="C8" s="11" t="n">
        <v>2.603895</v>
      </c>
      <c r="D8" s="10" t="n">
        <v>0.00202483</v>
      </c>
      <c r="E8" s="12" t="n">
        <v>99074.894</v>
      </c>
      <c r="F8" s="13">
        <f> E8-E9</f>
        <v/>
      </c>
      <c r="G8" s="14" t="n">
        <v>494893.788</v>
      </c>
      <c r="H8" s="2">
        <f> 1 - D8</f>
        <v/>
      </c>
      <c r="I8" s="12" t="n">
        <v>5822991.509</v>
      </c>
      <c r="J8" s="11" t="n">
        <v>58.7736</v>
      </c>
    </row>
    <row r="9">
      <c r="A9" s="4" t="n">
        <v>30</v>
      </c>
      <c r="B9" s="10" t="n">
        <v>0.00056576</v>
      </c>
      <c r="C9" s="11" t="n">
        <v>2.622572</v>
      </c>
      <c r="D9" s="10" t="n">
        <v>0.00282502</v>
      </c>
      <c r="E9" s="12" t="n">
        <v>98874.284</v>
      </c>
      <c r="F9" s="13">
        <f> E9-E10</f>
        <v/>
      </c>
      <c r="G9" s="14" t="n">
        <v>493707.354</v>
      </c>
      <c r="H9" s="2">
        <f> 1 - D9</f>
        <v/>
      </c>
      <c r="I9" s="12" t="n">
        <v>5328097.721</v>
      </c>
      <c r="J9" s="11" t="n">
        <v>53.8876</v>
      </c>
    </row>
    <row r="10">
      <c r="A10" s="4" t="n">
        <v>35</v>
      </c>
      <c r="B10" s="10" t="n">
        <v>0.00076984</v>
      </c>
      <c r="C10" s="11" t="n">
        <v>2.6575</v>
      </c>
      <c r="D10" s="10" t="n">
        <v>0.00384225</v>
      </c>
      <c r="E10" s="12" t="n">
        <v>98594.962</v>
      </c>
      <c r="F10" s="13">
        <f> E10-E11</f>
        <v/>
      </c>
      <c r="G10" s="14" t="n">
        <v>492087.411</v>
      </c>
      <c r="H10" s="2">
        <f> 1 - D10</f>
        <v/>
      </c>
      <c r="I10" s="12" t="n">
        <v>4834390.368</v>
      </c>
      <c r="J10" s="11" t="n">
        <v>49.0328</v>
      </c>
    </row>
    <row r="11">
      <c r="A11" s="4" t="n">
        <v>40</v>
      </c>
      <c r="B11" s="10" t="n">
        <v>0.00121141</v>
      </c>
      <c r="C11" s="11" t="n">
        <v>2.651062</v>
      </c>
      <c r="D11" s="10" t="n">
        <v>0.00603988</v>
      </c>
      <c r="E11" s="12" t="n">
        <v>98216.136</v>
      </c>
      <c r="F11" s="13">
        <f> E11-E12</f>
        <v/>
      </c>
      <c r="G11" s="14" t="n">
        <v>489687.258</v>
      </c>
      <c r="H11" s="2">
        <f> 1 - D11</f>
        <v/>
      </c>
      <c r="I11" s="12" t="n">
        <v>4342302.957</v>
      </c>
      <c r="J11" s="11" t="n">
        <v>44.2117</v>
      </c>
    </row>
    <row r="12">
      <c r="A12" s="4" t="n">
        <v>45</v>
      </c>
      <c r="B12" s="10" t="n">
        <v>0.00159499</v>
      </c>
      <c r="C12" s="11" t="n">
        <v>2.610264</v>
      </c>
      <c r="D12" s="10" t="n">
        <v>0.007944669999999999</v>
      </c>
      <c r="E12" s="12" t="n">
        <v>97622.92200000001</v>
      </c>
      <c r="F12" s="13">
        <f> E12-E13</f>
        <v/>
      </c>
      <c r="G12" s="14" t="n">
        <v>486261.177</v>
      </c>
      <c r="H12" s="2">
        <f> 1 - D12</f>
        <v/>
      </c>
      <c r="I12" s="12" t="n">
        <v>3852615.699</v>
      </c>
      <c r="J12" s="11" t="n">
        <v>39.4643</v>
      </c>
    </row>
    <row r="13">
      <c r="A13" s="4" t="n">
        <v>50</v>
      </c>
      <c r="B13" s="10" t="n">
        <v>0.00248223</v>
      </c>
      <c r="C13" s="11" t="n">
        <v>2.708527</v>
      </c>
      <c r="D13" s="10" t="n">
        <v>0.01234094</v>
      </c>
      <c r="E13" s="12" t="n">
        <v>96847.341</v>
      </c>
      <c r="F13" s="13">
        <f> E13-E14</f>
        <v/>
      </c>
      <c r="G13" s="14" t="n">
        <v>481497.965</v>
      </c>
      <c r="H13" s="2">
        <f> 1 - D13</f>
        <v/>
      </c>
      <c r="I13" s="12" t="n">
        <v>3366354.521</v>
      </c>
      <c r="J13" s="11" t="n">
        <v>34.7594</v>
      </c>
    </row>
    <row r="14">
      <c r="A14" s="4" t="n">
        <v>55</v>
      </c>
      <c r="B14" s="10" t="n">
        <v>0.00409099</v>
      </c>
      <c r="C14" s="11" t="n">
        <v>2.67604</v>
      </c>
      <c r="D14" s="10" t="n">
        <v>0.02026232</v>
      </c>
      <c r="E14" s="12" t="n">
        <v>95652.15399999999</v>
      </c>
      <c r="F14" s="13">
        <f> E14-E15</f>
        <v/>
      </c>
      <c r="G14" s="14" t="n">
        <v>473756.621</v>
      </c>
      <c r="H14" s="2">
        <f> 1 - D14</f>
        <v/>
      </c>
      <c r="I14" s="12" t="n">
        <v>2884856.556</v>
      </c>
      <c r="J14" s="11" t="n">
        <v>30.1599</v>
      </c>
    </row>
    <row r="15">
      <c r="A15" s="4" t="n">
        <v>60</v>
      </c>
      <c r="B15" s="10" t="n">
        <v>0.00648676</v>
      </c>
      <c r="C15" s="11" t="n">
        <v>2.675785</v>
      </c>
      <c r="D15" s="10" t="n">
        <v>0.03195207</v>
      </c>
      <c r="E15" s="12" t="n">
        <v>93714.019</v>
      </c>
      <c r="F15" s="13">
        <f> E15-E16</f>
        <v/>
      </c>
      <c r="G15" s="14" t="n">
        <v>461610.567</v>
      </c>
      <c r="H15" s="2">
        <f> 1 - D15</f>
        <v/>
      </c>
      <c r="I15" s="12" t="n">
        <v>2411099.935</v>
      </c>
      <c r="J15" s="11" t="n">
        <v>25.7283</v>
      </c>
    </row>
    <row r="16">
      <c r="A16" s="4" t="n">
        <v>65</v>
      </c>
      <c r="B16" s="10" t="n">
        <v>0.01028743</v>
      </c>
      <c r="C16" s="11" t="n">
        <v>2.651757</v>
      </c>
      <c r="D16" s="10" t="n">
        <v>0.05022388</v>
      </c>
      <c r="E16" s="12" t="n">
        <v>90719.662</v>
      </c>
      <c r="F16" s="13">
        <f> E16-E17</f>
        <v/>
      </c>
      <c r="G16" s="14" t="n">
        <v>442899.024</v>
      </c>
      <c r="H16" s="2">
        <f> 1 - D16</f>
        <v/>
      </c>
      <c r="I16" s="12" t="n">
        <v>1949489.368</v>
      </c>
      <c r="J16" s="11" t="n">
        <v>21.4892</v>
      </c>
    </row>
    <row r="17">
      <c r="A17" s="4" t="n">
        <v>70</v>
      </c>
      <c r="B17" s="10" t="n">
        <v>0.01600317</v>
      </c>
      <c r="C17" s="11" t="n">
        <v>2.666712</v>
      </c>
      <c r="D17" s="10" t="n">
        <v>0.07713559</v>
      </c>
      <c r="E17" s="12" t="n">
        <v>86163.368</v>
      </c>
      <c r="F17" s="13">
        <f> E17-E18</f>
        <v/>
      </c>
      <c r="G17" s="14" t="n">
        <v>415309.2</v>
      </c>
      <c r="H17" s="2">
        <f> 1 - D17</f>
        <v/>
      </c>
      <c r="I17" s="12" t="n">
        <v>1506590.344</v>
      </c>
      <c r="J17" s="11" t="n">
        <v>17.4853</v>
      </c>
    </row>
    <row r="18">
      <c r="A18" s="4" t="n">
        <v>75</v>
      </c>
      <c r="B18" s="10" t="n">
        <v>0.02910256</v>
      </c>
      <c r="C18" s="11" t="n">
        <v>2.706034</v>
      </c>
      <c r="D18" s="10" t="n">
        <v>0.13640627</v>
      </c>
      <c r="E18" s="12" t="n">
        <v>79517.106</v>
      </c>
      <c r="F18" s="13">
        <f> E18-E19</f>
        <v/>
      </c>
      <c r="G18" s="14" t="n">
        <v>372703.723</v>
      </c>
      <c r="H18" s="2">
        <f> 1 - D18</f>
        <v/>
      </c>
      <c r="I18" s="12" t="n">
        <v>1091281.144</v>
      </c>
      <c r="J18" s="11" t="n">
        <v>13.7239</v>
      </c>
    </row>
    <row r="19">
      <c r="A19" s="4" t="n">
        <v>80</v>
      </c>
      <c r="B19" s="10" t="n">
        <v>0.0530346</v>
      </c>
      <c r="C19" s="11" t="n">
        <v>2.60084</v>
      </c>
      <c r="D19" s="10" t="n">
        <v>0.23524128</v>
      </c>
      <c r="E19" s="12" t="n">
        <v>68670.474</v>
      </c>
      <c r="F19" s="13">
        <f> E19-E20</f>
        <v/>
      </c>
      <c r="G19" s="14" t="n">
        <v>304596.034</v>
      </c>
      <c r="H19" s="2">
        <f> 1 - D19</f>
        <v/>
      </c>
      <c r="I19" s="12" t="n">
        <v>718577.421</v>
      </c>
      <c r="J19" s="11" t="n">
        <v>10.4641</v>
      </c>
    </row>
    <row r="20">
      <c r="A20" s="4" t="n">
        <v>85</v>
      </c>
      <c r="B20" s="10" t="n">
        <v>0.08418610999999999</v>
      </c>
      <c r="C20" s="11" t="n">
        <v>2.514703</v>
      </c>
      <c r="D20" s="10" t="n">
        <v>0.34809871</v>
      </c>
      <c r="E20" s="12" t="n">
        <v>52516.344</v>
      </c>
      <c r="F20" s="13">
        <f> E20-E21</f>
        <v/>
      </c>
      <c r="G20" s="14" t="n">
        <v>217148.323</v>
      </c>
      <c r="H20" s="2">
        <f> 1 - D20</f>
        <v/>
      </c>
      <c r="I20" s="12" t="n">
        <v>413981.387</v>
      </c>
      <c r="J20" s="11" t="n">
        <v>7.8829</v>
      </c>
    </row>
    <row r="21">
      <c r="A21" s="4" t="n">
        <v>90</v>
      </c>
      <c r="B21" s="10" t="n">
        <v>0.1364722</v>
      </c>
      <c r="C21" s="11" t="n">
        <v>2.421568</v>
      </c>
      <c r="D21" s="10" t="n">
        <v>1</v>
      </c>
      <c r="E21" s="12" t="n">
        <v>34235.472</v>
      </c>
      <c r="F21" s="13">
        <f> E21-E22</f>
        <v/>
      </c>
      <c r="G21" s="14" t="n">
        <v>126621.311</v>
      </c>
      <c r="H21" s="2">
        <f> 1 - D21</f>
        <v/>
      </c>
      <c r="I21" s="12" t="n">
        <v>196833.064</v>
      </c>
      <c r="J21" s="11" t="n">
        <v>5.7494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Elber Santos</dc:creator>
  <dcterms:created xsi:type="dcterms:W3CDTF">2015-06-05T18:17:20Z</dcterms:created>
  <dcterms:modified xsi:type="dcterms:W3CDTF">2026-07-06T23:28:11Z</dcterms:modified>
  <cp:lastModifiedBy>Elber Santos</cp:lastModifiedBy>
</cp:coreProperties>
</file>